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fd8f1bec6148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Measurements" sheetId="1" r:id="R01ee9ed1e0604f9c"/>
    <x:sheet xmlns:r="http://schemas.openxmlformats.org/officeDocument/2006/relationships" name="Calculations" sheetId="2" r:id="R48155fc7184946a5"/>
    <x:sheet xmlns:r="http://schemas.openxmlformats.org/officeDocument/2006/relationships" name="Results" sheetId="3" r:id="R6b89b17be63a46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"/>
    <x:numFmt numFmtId="201" formatCode="#,##0"/>
    <x:numFmt numFmtId="202" formatCode="0.0"/>
    <x:numFmt numFmtId="203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0B254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2E74B5"/>
      </x:patternFill>
    </x:fill>
    <x:fill>
      <x:patternFill patternType="solid">
        <x:fgColor rgb="FFE8EEF5"/>
      </x:patternFill>
    </x:fill>
  </x:fills>
  <x:borders count="10">
    <x:border/>
    <x:border>
      <x:bottom style="thin">
        <x:color rgb="FFD9DEE5"/>
      </x:bottom>
    </x:border>
    <x:border>
      <x:top style="thin">
        <x:color rgb="FFD9DEE5"/>
      </x:top>
      <x:bottom style="thin">
        <x:color rgb="FFD9DEE5"/>
      </x:bottom>
    </x:border>
    <x:border>
      <x:top style="thin">
        <x:color rgb="FFD9DEE5"/>
      </x:top>
      <x:bottom style="thin">
        <x:color rgb="FFAAB4C0"/>
      </x:bottom>
    </x:border>
    <x:border>
      <x:left style="thin">
        <x:color rgb="FFAAB4C0"/>
      </x:left>
      <x:top style="thin">
        <x:color rgb="FFAAB4C0"/>
      </x:top>
    </x:border>
    <x:border>
      <x:right style="thin">
        <x:color rgb="FFAAB4C0"/>
      </x:right>
      <x:top style="thin">
        <x:color rgb="FFAAB4C0"/>
      </x:top>
    </x:border>
    <x:border>
      <x:left style="thin">
        <x:color rgb="FFAAB4C0"/>
      </x:left>
    </x:border>
    <x:border>
      <x:right style="thin">
        <x:color rgb="FFAAB4C0"/>
      </x:right>
    </x:border>
    <x:border>
      <x:left style="thin">
        <x:color rgb="FFAAB4C0"/>
      </x:left>
      <x:bottom style="thin">
        <x:color rgb="FFAAB4C0"/>
      </x:bottom>
    </x:border>
    <x:border>
      <x:right style="thin">
        <x:color rgb="FFAAB4C0"/>
      </x:right>
      <x:bottom style="thin">
        <x:color rgb="FFAAB4C0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200" fontId="0" fillId="0" borderId="2" xfId="0" applyNumberFormat="1" applyFont="1" applyFill="1" applyBorder="1"/>
    <x:xf numFmtId="0" fontId="0" fillId="0" borderId="2" xfId="0" applyNumberFormat="1" applyFont="1" applyFill="1" applyBorder="1"/>
    <x:xf numFmtId="201" fontId="0" fillId="0" borderId="2" xfId="0" applyNumberFormat="1" applyFont="1" applyFill="1" applyBorder="1"/>
    <x:xf numFmtId="202" fontId="0" fillId="0" borderId="2" xfId="0" applyNumberFormat="1" applyFont="1" applyFill="1" applyBorder="1"/>
    <x:xf numFmtId="200" fontId="0" fillId="0" borderId="3" xfId="0" applyNumberFormat="1" applyFont="1" applyFill="1" applyBorder="1"/>
    <x:xf numFmtId="0" fontId="0" fillId="0" borderId="3" xfId="0" applyNumberFormat="1" applyFont="1" applyFill="1" applyBorder="1"/>
    <x:xf numFmtId="201" fontId="0" fillId="0" borderId="3" xfId="0" applyNumberFormat="1" applyFont="1" applyFill="1" applyBorder="1"/>
    <x:xf numFmtId="202" fontId="0" fillId="0" borderId="3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0" fillId="0" borderId="6" xfId="0" applyNumberFormat="1" applyFont="1" applyFill="1" applyBorder="1"/>
    <x:xf numFmtId="203" fontId="0" fillId="0" borderId="7" xfId="0" applyNumberFormat="1" applyFont="1" applyFill="1" applyBorder="1"/>
    <x:xf numFmtId="0" fontId="0" fillId="0" borderId="8" xfId="0" applyNumberFormat="1" applyFont="1" applyFill="1" applyBorder="1"/>
    <x:xf numFmtId="203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368d908af248fa" /><Relationship Type="http://schemas.openxmlformats.org/officeDocument/2006/relationships/theme" Target="/xl/theme/theme1.xml" Id="R4517e2fe63dd4458" /><Relationship Type="http://schemas.openxmlformats.org/officeDocument/2006/relationships/sharedStrings" Target="/xl/sharedStrings.xml" Id="R9e5918bc802e41ec" /><Relationship Type="http://schemas.openxmlformats.org/officeDocument/2006/relationships/worksheet" Target="/xl/worksheets/sheet1.xml" Id="R01ee9ed1e0604f9c" /><Relationship Type="http://schemas.openxmlformats.org/officeDocument/2006/relationships/worksheet" Target="/xl/worksheets/sheet2.xml" Id="R48155fc7184946a5" /><Relationship Type="http://schemas.openxmlformats.org/officeDocument/2006/relationships/worksheet" Target="/xl/worksheets/sheet3.xml" Id="R6b89b17be63a465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d75f645aa89434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Observed telemetry variance</a:t>
            </a:r>
          </a:p>
        </c:rich>
      </c:tx>
    </c:title>
    <c:plotArea>
      <c:lineChart>
        <c:grouping val="standard"/>
        <c:ser>
          <c:idx val="0"/>
          <c:order val="0"/>
          <c:tx>
            <c:v>Variance</c:v>
          </c:tx>
          <c:marker>
            <c:symbol val="none"/>
          </c:marker>
          <c:cat>
            <c:strRef>
              <c:f>'Results'!$D$4:$D$9</c:f>
              <c:strCache>
                <c:ptCount val="0"/>
              </c:strCache>
            </c:strRef>
          </c:cat>
          <c:val>
            <c:numRef>
              <c:f>'Results'!$E$4:$E$9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Time</a:t>
                </a:r>
              </a:p>
            </c:rich>
          </c:tx>
        </c:title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Variance</a:t>
                </a:r>
              </a:p>
            </c:rich>
          </c:tx>
        </c:title>
        <c:numFmt formatCode="0.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75f645aa89434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91b77a31d5ab45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5" hidden="0" customWidth="1"/>
    <x:col min="4" max="4" width="15" hidden="0" customWidth="1"/>
    <x:col min="5" max="5" width="15" hidden="0" customWidth="1"/>
    <x:col min="6" max="6" width="14" hidden="0" customWidth="1"/>
  </x:cols>
  <x:sheetData>
    <x:row r="1">
      <x:c r="A1" s="7" t="str">
        <x:v>Timestamp</x:v>
      </x:c>
      <x:c r="B1" s="7" t="str">
        <x:v>Sensor</x:v>
      </x:c>
      <x:c r="C1" s="7" t="str">
        <x:v>Device Count</x:v>
      </x:c>
      <x:c r="D1" s="7" t="str">
        <x:v>Ledger Count</x:v>
      </x:c>
      <x:c r="E1" s="7" t="str">
        <x:v>Temperature C</x:v>
      </x:c>
      <x:c r="F1" s="7" t="str">
        <x:v>Flag</x:v>
      </x:c>
    </x:row>
    <x:row r="2">
      <x:c r="A2" s="8" t="n">
        <x:v>46231.60208333333</x:v>
      </x:c>
      <x:c r="B2" s="9" t="str">
        <x:v>north-1</x:v>
      </x:c>
      <x:c r="C2" s="10" t="n">
        <x:v>12840</x:v>
      </x:c>
      <x:c r="D2" s="10" t="n">
        <x:v>12690</x:v>
      </x:c>
      <x:c r="E2" s="11" t="n">
        <x:v>23.4</x:v>
      </x:c>
      <x:c r="F2" s="9" t="str"/>
    </x:row>
    <x:row r="3">
      <x:c r="A3" s="8" t="n">
        <x:v>46231.60555555556</x:v>
      </x:c>
      <x:c r="B3" s="9" t="str">
        <x:v>north-1</x:v>
      </x:c>
      <x:c r="C3" s="10" t="n">
        <x:v>13220</x:v>
      </x:c>
      <x:c r="D3" s="10" t="n">
        <x:v>12257</x:v>
      </x:c>
      <x:c r="E3" s="11" t="n">
        <x:v>23.6</x:v>
      </x:c>
      <x:c r="F3" s="9" t="str">
        <x:v>incident</x:v>
      </x:c>
    </x:row>
    <x:row r="4">
      <x:c r="A4" s="8" t="n">
        <x:v>46231.60902777778</x:v>
      </x:c>
      <x:c r="B4" s="9" t="str">
        <x:v>north-1</x:v>
      </x:c>
      <x:c r="C4" s="10" t="n">
        <x:v>13610</x:v>
      </x:c>
      <x:c r="D4" s="10" t="n">
        <x:v>12916</x:v>
      </x:c>
      <x:c r="E4" s="11" t="n">
        <x:v>23.8</x:v>
      </x:c>
      <x:c r="F4" s="9" t="str">
        <x:v>restart</x:v>
      </x:c>
    </x:row>
    <x:row r="5">
      <x:c r="A5" s="8" t="n">
        <x:v>46231.6125</x:v>
      </x:c>
      <x:c r="B5" s="9" t="str">
        <x:v>north-1</x:v>
      </x:c>
      <x:c r="C5" s="10" t="n">
        <x:v>14002</x:v>
      </x:c>
      <x:c r="D5" s="10" t="n">
        <x:v>13315</x:v>
      </x:c>
      <x:c r="E5" s="11" t="n">
        <x:v>23.7</x:v>
      </x:c>
      <x:c r="F5" s="9" t="str"/>
    </x:row>
    <x:row r="6">
      <x:c r="A6" s="8" t="n">
        <x:v>46231.61597222222</x:v>
      </x:c>
      <x:c r="B6" s="9" t="str">
        <x:v>north-1</x:v>
      </x:c>
      <x:c r="C6" s="10" t="n">
        <x:v>14395</x:v>
      </x:c>
      <x:c r="D6" s="10" t="n">
        <x:v>13847</x:v>
      </x:c>
      <x:c r="E6" s="11" t="n">
        <x:v>23.5</x:v>
      </x:c>
      <x:c r="F6" s="9" t="str"/>
    </x:row>
    <x:row r="7">
      <x:c r="A7" s="12" t="n">
        <x:v>46231.61944444444</x:v>
      </x:c>
      <x:c r="B7" s="13" t="str">
        <x:v>north-1</x:v>
      </x:c>
      <x:c r="C7" s="14" t="n">
        <x:v>14788</x:v>
      </x:c>
      <x:c r="D7" s="14" t="n">
        <x:v>14276</x:v>
      </x:c>
      <x:c r="E7" s="15" t="n">
        <x:v>23.3</x:v>
      </x:c>
      <x:c r="F7" s="1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4" hidden="0" customWidth="1"/>
  </x:cols>
  <x:sheetData>
    <x:row r="1">
      <x:c r="A1" s="18" t="str">
        <x:v>Timestamp</x:v>
      </x:c>
      <x:c r="B1" s="18" t="str">
        <x:v>Device Count</x:v>
      </x:c>
      <x:c r="C1" s="18" t="str">
        <x:v>Ledger Count</x:v>
      </x:c>
      <x:c r="D1" s="18" t="str">
        <x:v>Absolute Difference</x:v>
      </x:c>
      <x:c r="E1" s="18" t="str">
        <x:v>Variance</x:v>
      </x:c>
    </x:row>
    <x:row r="2">
      <x:c r="A2" s="4" t="n">
        <x:f>'Raw Measurements'!A2</x:f>
        <x:v>46231.60208333333</x:v>
      </x:c>
      <x:c r="B2" s="5" t="n">
        <x:f>'Raw Measurements'!C2</x:f>
        <x:v>12840</x:v>
      </x:c>
      <x:c r="C2" s="5" t="n">
        <x:f>'Raw Measurements'!D2</x:f>
        <x:v>12690</x:v>
      </x:c>
      <x:c r="D2" s="5" t="n">
        <x:f>ABS(B2-C2)</x:f>
        <x:v>150</x:v>
      </x:c>
      <x:c r="E2" s="19" t="n">
        <x:f>IF(B2=0,0,D2/B2)</x:f>
        <x:v>0.011682242990654205</x:v>
      </x:c>
    </x:row>
    <x:row r="3">
      <x:c r="A3" s="4" t="n">
        <x:f>'Raw Measurements'!A3</x:f>
        <x:v>46231.60555555556</x:v>
      </x:c>
      <x:c r="B3" s="5" t="n">
        <x:f>'Raw Measurements'!C3</x:f>
        <x:v>13220</x:v>
      </x:c>
      <x:c r="C3" s="5" t="n">
        <x:f>'Raw Measurements'!D3</x:f>
        <x:v>12257</x:v>
      </x:c>
      <x:c r="D3" s="5" t="n">
        <x:f>ABS(B3-C3)</x:f>
        <x:v>963</x:v>
      </x:c>
      <x:c r="E3" s="19" t="n">
        <x:f>IF(B3=0,0,D3/B3)</x:f>
        <x:v>0.07284417549167928</x:v>
      </x:c>
    </x:row>
    <x:row r="4">
      <x:c r="A4" s="4" t="n">
        <x:f>'Raw Measurements'!A4</x:f>
        <x:v>46231.60902777778</x:v>
      </x:c>
      <x:c r="B4" s="5" t="n">
        <x:f>'Raw Measurements'!C4</x:f>
        <x:v>13610</x:v>
      </x:c>
      <x:c r="C4" s="5" t="n">
        <x:f>'Raw Measurements'!D4</x:f>
        <x:v>12916</x:v>
      </x:c>
      <x:c r="D4" s="5" t="n">
        <x:f>ABS(B4-C4)</x:f>
        <x:v>694</x:v>
      </x:c>
      <x:c r="E4" s="19" t="n">
        <x:f>IF(B4=0,0,D4/B4)</x:f>
        <x:v>0.05099191770756797</x:v>
      </x:c>
    </x:row>
    <x:row r="5">
      <x:c r="A5" s="4" t="n">
        <x:f>'Raw Measurements'!A5</x:f>
        <x:v>46231.6125</x:v>
      </x:c>
      <x:c r="B5" s="5" t="n">
        <x:f>'Raw Measurements'!C5</x:f>
        <x:v>14002</x:v>
      </x:c>
      <x:c r="C5" s="5" t="n">
        <x:f>'Raw Measurements'!D5</x:f>
        <x:v>13315</x:v>
      </x:c>
      <x:c r="D5" s="5" t="n">
        <x:f>ABS(B5-C5)</x:f>
        <x:v>687</x:v>
      </x:c>
      <x:c r="E5" s="19" t="n">
        <x:f>IF(B5=0,0,D5/B5)</x:f>
        <x:v>0.04906441936866162</x:v>
      </x:c>
    </x:row>
    <x:row r="6">
      <x:c r="A6" s="4" t="n">
        <x:f>'Raw Measurements'!A6</x:f>
        <x:v>46231.61597222222</x:v>
      </x:c>
      <x:c r="B6" s="5" t="n">
        <x:f>'Raw Measurements'!C6</x:f>
        <x:v>14395</x:v>
      </x:c>
      <x:c r="C6" s="5" t="n">
        <x:f>'Raw Measurements'!D6</x:f>
        <x:v>13847</x:v>
      </x:c>
      <x:c r="D6" s="5" t="n">
        <x:f>ABS(B6-C6)</x:f>
        <x:v>548</x:v>
      </x:c>
      <x:c r="E6" s="19" t="n">
        <x:f>IF(B6=0,0,D6/B6)</x:f>
        <x:v>0.038068773879819384</x:v>
      </x:c>
    </x:row>
    <x:row r="7">
      <x:c r="A7" s="4" t="n">
        <x:f>'Raw Measurements'!A7</x:f>
        <x:v>46231.61944444444</x:v>
      </x:c>
      <x:c r="B7" s="5" t="n">
        <x:f>'Raw Measurements'!C7</x:f>
        <x:v>14788</x:v>
      </x:c>
      <x:c r="C7" s="5" t="n">
        <x:f>'Raw Measurements'!D7</x:f>
        <x:v>14276</x:v>
      </x:c>
      <x:c r="D7" s="5" t="n">
        <x:f>ABS(B7-C7)</x:f>
        <x:v>512</x:v>
      </x:c>
      <x:c r="E7" s="19" t="n">
        <x:f>IF(B7=0,0,D7/B7)</x:f>
        <x:v>0.03462266702731945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</x:cols>
  <x:sheetData>
    <x:row r="1" ht="32" customHeight="1">
      <x:c r="A1" s="20" t="str">
        <x:v>Project Aurora telemetry review</x:v>
      </x:c>
      <x:c r="B1" s="20"/>
      <x:c r="C1" s="20"/>
      <x:c r="D1" s="20"/>
      <x:c r="E1" s="20"/>
      <x:c r="F1" s="20"/>
    </x:row>
    <x:row r="3">
      <x:c r="A3" s="23" t="str">
        <x:v>Metric</x:v>
      </x:c>
      <x:c r="B3" s="24" t="str">
        <x:v>Value</x:v>
      </x:c>
      <x:c r="D3" t="str">
        <x:v>Timestamp</x:v>
      </x:c>
      <x:c r="E3" t="str">
        <x:v>Variance</x:v>
      </x:c>
    </x:row>
    <x:row r="4">
      <x:c r="A4" s="25" t="str">
        <x:v>Maximum variance</x:v>
      </x:c>
      <x:c r="B4" s="26" t="n">
        <x:f>MAX('Calculations'!E2:E7)</x:f>
        <x:v>0.07284417549167928</x:v>
      </x:c>
      <x:c r="D4" t="str">
        <x:v>14:27</x:v>
      </x:c>
      <x:c r="E4" t="n">
        <x:f>'Calculations'!E2</x:f>
        <x:v>0.011682242990654205</x:v>
      </x:c>
    </x:row>
    <x:row r="5">
      <x:c r="A5" s="25" t="str">
        <x:v>Latest variance</x:v>
      </x:c>
      <x:c r="B5" s="26" t="n">
        <x:f>'Calculations'!E7</x:f>
        <x:v>0.03462266702731945</x:v>
      </x:c>
      <x:c r="D5" t="str">
        <x:v>14:32</x:v>
      </x:c>
      <x:c r="E5" t="n">
        <x:f>'Calculations'!E3</x:f>
        <x:v>0.07284417549167928</x:v>
      </x:c>
    </x:row>
    <x:row r="6">
      <x:c r="A6" s="27" t="str">
        <x:v>Threshold</x:v>
      </x:c>
      <x:c r="B6" s="28" t="n">
        <x:v>0.045</x:v>
      </x:c>
      <x:c r="D6" t="str">
        <x:v>14:37</x:v>
      </x:c>
      <x:c r="E6" t="n">
        <x:f>'Calculations'!E4</x:f>
        <x:v>0.05099191770756797</x:v>
      </x:c>
    </x:row>
    <x:row r="7">
      <x:c r="D7" t="str">
        <x:v>14:42</x:v>
      </x:c>
      <x:c r="E7" t="n">
        <x:f>'Calculations'!E5</x:f>
        <x:v>0.04906441936866162</x:v>
      </x:c>
    </x:row>
    <x:row r="8">
      <x:c r="D8" t="str">
        <x:v>14:47</x:v>
      </x:c>
      <x:c r="E8" t="n">
        <x:f>'Calculations'!E6</x:f>
        <x:v>0.038068773879819384</x:v>
      </x:c>
    </x:row>
    <x:row r="9">
      <x:c r="D9" t="str">
        <x:v>14:52</x:v>
      </x:c>
      <x:c r="E9" t="n">
        <x:f>'Calculations'!E7</x:f>
        <x:v>0.03462266702731945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91b77a31d5ab45a7"/>
</x:worksheet>
</file>